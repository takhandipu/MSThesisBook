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  <sheet name="Sheet1" sheetId="9" r:id="rId7"/>
  </sheets>
  <externalReferences>
    <externalReference r:id="rId8"/>
  </externalReferences>
  <calcPr calcId="144525"/>
</workbook>
</file>

<file path=xl/calcChain.xml><?xml version="1.0" encoding="utf-8"?>
<calcChain xmlns="http://schemas.openxmlformats.org/spreadsheetml/2006/main">
  <c r="AB2" i="9" l="1"/>
  <c r="AC2" i="9"/>
  <c r="AD2" i="9"/>
  <c r="AE2" i="9"/>
  <c r="AB3" i="9"/>
  <c r="AC3" i="9"/>
  <c r="AD3" i="9"/>
  <c r="AE3" i="9"/>
  <c r="AB4" i="9"/>
  <c r="AC4" i="9"/>
  <c r="AD4" i="9"/>
  <c r="AE4" i="9"/>
  <c r="AB5" i="9"/>
  <c r="AC5" i="9"/>
  <c r="AD5" i="9"/>
  <c r="AE5" i="9"/>
  <c r="AB6" i="9"/>
  <c r="AC6" i="9"/>
  <c r="AD6" i="9"/>
  <c r="AE6" i="9"/>
  <c r="AB7" i="9"/>
  <c r="AC7" i="9"/>
  <c r="AD7" i="9"/>
  <c r="AE7" i="9"/>
  <c r="AA3" i="9"/>
  <c r="AA4" i="9"/>
  <c r="AA5" i="9"/>
  <c r="AA6" i="9"/>
  <c r="AA7" i="9"/>
  <c r="AA2" i="9"/>
  <c r="R2" i="9"/>
  <c r="S2" i="9"/>
  <c r="T2" i="9"/>
  <c r="U2" i="9"/>
  <c r="R3" i="9"/>
  <c r="S3" i="9"/>
  <c r="T3" i="9"/>
  <c r="U3" i="9"/>
  <c r="R4" i="9"/>
  <c r="S4" i="9"/>
  <c r="T4" i="9"/>
  <c r="U4" i="9"/>
  <c r="R5" i="9"/>
  <c r="S5" i="9"/>
  <c r="T5" i="9"/>
  <c r="U5" i="9"/>
  <c r="R6" i="9"/>
  <c r="S6" i="9"/>
  <c r="T6" i="9"/>
  <c r="U6" i="9"/>
  <c r="R7" i="9"/>
  <c r="S7" i="9"/>
  <c r="T7" i="9"/>
  <c r="U7" i="9"/>
  <c r="Q3" i="9"/>
  <c r="Q4" i="9"/>
  <c r="Q5" i="9"/>
  <c r="Q6" i="9"/>
  <c r="Q7" i="9"/>
  <c r="Q2" i="9"/>
  <c r="H2" i="9"/>
  <c r="W2" i="9" s="1"/>
  <c r="I2" i="9"/>
  <c r="X2" i="9" s="1"/>
  <c r="J2" i="9"/>
  <c r="Y2" i="9" s="1"/>
  <c r="AI2" i="9" s="1"/>
  <c r="K2" i="9"/>
  <c r="Z2" i="9" s="1"/>
  <c r="AJ2" i="9" s="1"/>
  <c r="H3" i="9"/>
  <c r="W3" i="9" s="1"/>
  <c r="I3" i="9"/>
  <c r="X3" i="9" s="1"/>
  <c r="J3" i="9"/>
  <c r="Y3" i="9" s="1"/>
  <c r="AI3" i="9" s="1"/>
  <c r="K3" i="9"/>
  <c r="Z3" i="9" s="1"/>
  <c r="AJ3" i="9" s="1"/>
  <c r="H4" i="9"/>
  <c r="W4" i="9" s="1"/>
  <c r="I4" i="9"/>
  <c r="X4" i="9" s="1"/>
  <c r="J4" i="9"/>
  <c r="Y4" i="9" s="1"/>
  <c r="AI4" i="9" s="1"/>
  <c r="K4" i="9"/>
  <c r="Z4" i="9" s="1"/>
  <c r="AJ4" i="9" s="1"/>
  <c r="H5" i="9"/>
  <c r="W5" i="9" s="1"/>
  <c r="I5" i="9"/>
  <c r="X5" i="9" s="1"/>
  <c r="J5" i="9"/>
  <c r="Y5" i="9" s="1"/>
  <c r="AI5" i="9" s="1"/>
  <c r="K5" i="9"/>
  <c r="Z5" i="9" s="1"/>
  <c r="AJ5" i="9" s="1"/>
  <c r="H6" i="9"/>
  <c r="W6" i="9" s="1"/>
  <c r="I6" i="9"/>
  <c r="X6" i="9" s="1"/>
  <c r="J6" i="9"/>
  <c r="Y6" i="9" s="1"/>
  <c r="AI6" i="9" s="1"/>
  <c r="K6" i="9"/>
  <c r="Z6" i="9" s="1"/>
  <c r="AJ6" i="9" s="1"/>
  <c r="H7" i="9"/>
  <c r="W7" i="9" s="1"/>
  <c r="I7" i="9"/>
  <c r="X7" i="9" s="1"/>
  <c r="J7" i="9"/>
  <c r="Y7" i="9" s="1"/>
  <c r="AI7" i="9" s="1"/>
  <c r="K7" i="9"/>
  <c r="Z7" i="9" s="1"/>
  <c r="AJ7" i="9" s="1"/>
  <c r="G3" i="9"/>
  <c r="V3" i="9" s="1"/>
  <c r="G4" i="9"/>
  <c r="V4" i="9" s="1"/>
  <c r="G5" i="9"/>
  <c r="V5" i="9" s="1"/>
  <c r="AF5" i="9" s="1"/>
  <c r="G6" i="9"/>
  <c r="V6" i="9" s="1"/>
  <c r="AF6" i="9" s="1"/>
  <c r="G7" i="9"/>
  <c r="V7" i="9" s="1"/>
  <c r="G2" i="9"/>
  <c r="V2" i="9" s="1"/>
  <c r="AF2" i="9" l="1"/>
  <c r="AF4" i="9"/>
  <c r="AH7" i="9"/>
  <c r="AH6" i="9"/>
  <c r="AH5" i="9"/>
  <c r="AH4" i="9"/>
  <c r="AH3" i="9"/>
  <c r="AH2" i="9"/>
  <c r="AF7" i="9"/>
  <c r="AF3" i="9"/>
  <c r="AG7" i="9"/>
  <c r="AG6" i="9"/>
  <c r="AG5" i="9"/>
  <c r="AG4" i="9"/>
  <c r="AG3" i="9"/>
  <c r="AG2" i="9"/>
</calcChain>
</file>

<file path=xl/sharedStrings.xml><?xml version="1.0" encoding="utf-8"?>
<sst xmlns="http://schemas.openxmlformats.org/spreadsheetml/2006/main" count="48" uniqueCount="7">
  <si>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</si>
  <si>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</si>
  <si>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</si>
  <si>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</si>
  <si>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</si>
  <si>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</si>
  <si>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Packet delivery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</si>
</sst>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0.56725040603200005</c:v>
                </c:pt>
                <c:pt idx="1">
                  <c:v>0.51838238963700001</c:v>
                </c:pt>
                <c:pt idx="2">
                  <c:v>0.50613486158999998</c:v>
                </c:pt>
                <c:pt idx="3">
                  <c:v>0.47894402671699998</c:v>
                </c:pt>
                <c:pt idx="4">
                  <c:v>0.45070431724499999</c:v>
                </c:pt>
                <c:pt idx="5">
                  <c:v>0.39242850936399998</c:v>
                </c:pt>
                <c:pt idx="6">
                  <c:v>0.34246205644700001</c:v>
                </c:pt>
                <c:pt idx="7">
                  <c:v>0.32800424962300001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0.57814758674900002</c:v>
                </c:pt>
                <c:pt idx="1">
                  <c:v>0.54268833400700001</c:v>
                </c:pt>
                <c:pt idx="2">
                  <c:v>0.478246211566</c:v>
                </c:pt>
                <c:pt idx="3">
                  <c:v>0.47172902382199999</c:v>
                </c:pt>
                <c:pt idx="4">
                  <c:v>0.44266595451500002</c:v>
                </c:pt>
                <c:pt idx="5">
                  <c:v>0.36327490438299997</c:v>
                </c:pt>
                <c:pt idx="6">
                  <c:v>0.39369881790700001</c:v>
                </c:pt>
                <c:pt idx="7">
                  <c:v>0.35971231202300002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0.65556547524499997</c:v>
                </c:pt>
                <c:pt idx="1">
                  <c:v>0.70052161338600005</c:v>
                </c:pt>
                <c:pt idx="2">
                  <c:v>0.72298213949099999</c:v>
                </c:pt>
                <c:pt idx="3">
                  <c:v>0.75651712052200004</c:v>
                </c:pt>
                <c:pt idx="4">
                  <c:v>0.76463691969199998</c:v>
                </c:pt>
                <c:pt idx="5">
                  <c:v>0.81103539010199999</c:v>
                </c:pt>
                <c:pt idx="6">
                  <c:v>0.812568852274</c:v>
                </c:pt>
                <c:pt idx="7">
                  <c:v>0.86753964649899995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0.65632264193500001</c:v>
                </c:pt>
                <c:pt idx="1">
                  <c:v>0.65332168484999997</c:v>
                </c:pt>
                <c:pt idx="2">
                  <c:v>0.71028635027099996</c:v>
                </c:pt>
                <c:pt idx="3">
                  <c:v>0.75753853182700004</c:v>
                </c:pt>
                <c:pt idx="4">
                  <c:v>0.76721637800700004</c:v>
                </c:pt>
                <c:pt idx="5">
                  <c:v>0.83659794761100004</c:v>
                </c:pt>
                <c:pt idx="6">
                  <c:v>0.85268252813400003</c:v>
                </c:pt>
                <c:pt idx="7">
                  <c:v>0.87450974796699998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0.62008265809899998</c:v>
                </c:pt>
                <c:pt idx="1">
                  <c:v>0.69151942480499995</c:v>
                </c:pt>
                <c:pt idx="2">
                  <c:v>0.71875625603399995</c:v>
                </c:pt>
                <c:pt idx="3">
                  <c:v>0.72398536032899996</c:v>
                </c:pt>
                <c:pt idx="4">
                  <c:v>0.75704204152800003</c:v>
                </c:pt>
                <c:pt idx="5">
                  <c:v>0.78797782573200004</c:v>
                </c:pt>
                <c:pt idx="6">
                  <c:v>0.83417871445199998</c:v>
                </c:pt>
                <c:pt idx="7">
                  <c:v>0.89405896347799996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82272"/>
        <c:axId val="79784576"/>
      </c:scatterChart>
      <c:valAx>
        <c:axId val="7978227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784576"/>
        <c:crosses val="autoZero"/>
        <c:crossBetween val="midCat"/>
        <c:majorUnit val="1"/>
      </c:valAx>
      <c:valAx>
        <c:axId val="79784576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78227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4"/>
          <c:y val="6.5768129808164294E-2"/>
          <c:w val="0.85383074302890649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0.49229237586800001</c:v>
                </c:pt>
                <c:pt idx="1">
                  <c:v>0.49000737070799999</c:v>
                </c:pt>
                <c:pt idx="2">
                  <c:v>0.47829611370699998</c:v>
                </c:pt>
                <c:pt idx="3">
                  <c:v>0.44634064503900001</c:v>
                </c:pt>
                <c:pt idx="4">
                  <c:v>0.44214382381900003</c:v>
                </c:pt>
                <c:pt idx="5">
                  <c:v>0.42233833654199998</c:v>
                </c:pt>
                <c:pt idx="6">
                  <c:v>0.401176094092</c:v>
                </c:pt>
                <c:pt idx="7">
                  <c:v>0.36541569422199999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0.50942219493200003</c:v>
                </c:pt>
                <c:pt idx="1">
                  <c:v>0.48104852427599998</c:v>
                </c:pt>
                <c:pt idx="2">
                  <c:v>0.47574543800199998</c:v>
                </c:pt>
                <c:pt idx="3">
                  <c:v>0.45818767378199998</c:v>
                </c:pt>
                <c:pt idx="4">
                  <c:v>0.41895632446499997</c:v>
                </c:pt>
                <c:pt idx="5">
                  <c:v>0.41308021706699999</c:v>
                </c:pt>
                <c:pt idx="6">
                  <c:v>0.37499340577899998</c:v>
                </c:pt>
                <c:pt idx="7">
                  <c:v>0.36121726316000002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0.57202848454800004</c:v>
                </c:pt>
                <c:pt idx="1">
                  <c:v>0.58254944101200001</c:v>
                </c:pt>
                <c:pt idx="2">
                  <c:v>0.62633261181</c:v>
                </c:pt>
                <c:pt idx="3">
                  <c:v>0.68432584838699995</c:v>
                </c:pt>
                <c:pt idx="4">
                  <c:v>0.67564896256499996</c:v>
                </c:pt>
                <c:pt idx="5">
                  <c:v>0.76799611705299997</c:v>
                </c:pt>
                <c:pt idx="6">
                  <c:v>0.79374782878200001</c:v>
                </c:pt>
                <c:pt idx="7">
                  <c:v>0.82746113734500004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0.51952514935799998</c:v>
                </c:pt>
                <c:pt idx="1">
                  <c:v>0.550943803106</c:v>
                </c:pt>
                <c:pt idx="2">
                  <c:v>0.626634451398</c:v>
                </c:pt>
                <c:pt idx="3">
                  <c:v>0.65871567972900003</c:v>
                </c:pt>
                <c:pt idx="4">
                  <c:v>0.68533655155200002</c:v>
                </c:pt>
                <c:pt idx="5">
                  <c:v>0.718750392578</c:v>
                </c:pt>
                <c:pt idx="6">
                  <c:v>0.78203801050800004</c:v>
                </c:pt>
                <c:pt idx="7">
                  <c:v>0.84028066800800005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0.51618000292999999</c:v>
                </c:pt>
                <c:pt idx="1">
                  <c:v>0.59496699697800004</c:v>
                </c:pt>
                <c:pt idx="2">
                  <c:v>0.65216446285100005</c:v>
                </c:pt>
                <c:pt idx="3">
                  <c:v>0.625409072023</c:v>
                </c:pt>
                <c:pt idx="4">
                  <c:v>0.72545514343700002</c:v>
                </c:pt>
                <c:pt idx="5">
                  <c:v>0.74320038982199998</c:v>
                </c:pt>
                <c:pt idx="6">
                  <c:v>0.78059202134100003</c:v>
                </c:pt>
                <c:pt idx="7">
                  <c:v>0.80527467373999995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398592"/>
        <c:axId val="80417536"/>
      </c:scatterChart>
      <c:valAx>
        <c:axId val="8039859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417536"/>
        <c:crosses val="autoZero"/>
        <c:crossBetween val="midCat"/>
        <c:majorUnit val="1"/>
      </c:valAx>
      <c:valAx>
        <c:axId val="80417536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39859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7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0.45563503932900001</c:v>
                </c:pt>
                <c:pt idx="1">
                  <c:v>0.439984218692</c:v>
                </c:pt>
                <c:pt idx="2">
                  <c:v>0.418290689715</c:v>
                </c:pt>
                <c:pt idx="3">
                  <c:v>0.424339024776</c:v>
                </c:pt>
                <c:pt idx="4">
                  <c:v>0.39435190740999998</c:v>
                </c:pt>
                <c:pt idx="5">
                  <c:v>0.38014156736600002</c:v>
                </c:pt>
                <c:pt idx="6">
                  <c:v>0.36918243798799999</c:v>
                </c:pt>
                <c:pt idx="7">
                  <c:v>0.35386467338799998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0.45598099084799998</c:v>
                </c:pt>
                <c:pt idx="1">
                  <c:v>0.42978185878699998</c:v>
                </c:pt>
                <c:pt idx="2">
                  <c:v>0.42110854115599999</c:v>
                </c:pt>
                <c:pt idx="3">
                  <c:v>0.41852135664000001</c:v>
                </c:pt>
                <c:pt idx="4">
                  <c:v>0.41096034273400001</c:v>
                </c:pt>
                <c:pt idx="5">
                  <c:v>0.38490135052199997</c:v>
                </c:pt>
                <c:pt idx="6">
                  <c:v>0.38075399064299997</c:v>
                </c:pt>
                <c:pt idx="7">
                  <c:v>0.36652502961200001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0.47252454097000002</c:v>
                </c:pt>
                <c:pt idx="1">
                  <c:v>0.50616578342399998</c:v>
                </c:pt>
                <c:pt idx="2">
                  <c:v>0.56127625424299998</c:v>
                </c:pt>
                <c:pt idx="3">
                  <c:v>0.58121727856299998</c:v>
                </c:pt>
                <c:pt idx="4">
                  <c:v>0.60610581122499996</c:v>
                </c:pt>
                <c:pt idx="5">
                  <c:v>0.65764041270600004</c:v>
                </c:pt>
                <c:pt idx="6">
                  <c:v>0.67447685017299996</c:v>
                </c:pt>
                <c:pt idx="7">
                  <c:v>0.72442054540800005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0.47249134308500002</c:v>
                </c:pt>
                <c:pt idx="1">
                  <c:v>0.52392607788699996</c:v>
                </c:pt>
                <c:pt idx="2">
                  <c:v>0.55122738850999997</c:v>
                </c:pt>
                <c:pt idx="3">
                  <c:v>0.58029540392400003</c:v>
                </c:pt>
                <c:pt idx="4">
                  <c:v>0.60474685929200001</c:v>
                </c:pt>
                <c:pt idx="5">
                  <c:v>0.66578587682900003</c:v>
                </c:pt>
                <c:pt idx="6">
                  <c:v>0.701507010238</c:v>
                </c:pt>
                <c:pt idx="7">
                  <c:v>0.74724262604400005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0.49305710755400001</c:v>
                </c:pt>
                <c:pt idx="1">
                  <c:v>0.52616307418999997</c:v>
                </c:pt>
                <c:pt idx="2">
                  <c:v>0.57451588910399998</c:v>
                </c:pt>
                <c:pt idx="3">
                  <c:v>0.56500488851200004</c:v>
                </c:pt>
                <c:pt idx="4">
                  <c:v>0.61662181728999998</c:v>
                </c:pt>
                <c:pt idx="5">
                  <c:v>0.64429400001600001</c:v>
                </c:pt>
                <c:pt idx="6">
                  <c:v>0.68110901552600001</c:v>
                </c:pt>
                <c:pt idx="7">
                  <c:v>0.73805062696799995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66304"/>
        <c:axId val="80468608"/>
      </c:scatterChart>
      <c:valAx>
        <c:axId val="8046630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468608"/>
        <c:crosses val="autoZero"/>
        <c:crossBetween val="midCat"/>
        <c:majorUnit val="1"/>
      </c:valAx>
      <c:valAx>
        <c:axId val="80468608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46630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'24d8'!$B$2:$B$8</c:f>
              <c:numCache>
                <c:formatCode>General</c:formatCode>
                <c:ptCount val="7"/>
                <c:pt idx="0">
                  <c:v>0.34539344613400003</c:v>
                </c:pt>
                <c:pt idx="1">
                  <c:v>0.328321485144</c:v>
                </c:pt>
                <c:pt idx="2">
                  <c:v>0.30169267372300002</c:v>
                </c:pt>
                <c:pt idx="3">
                  <c:v>0.28544676001000002</c:v>
                </c:pt>
                <c:pt idx="4">
                  <c:v>0.26887732272100001</c:v>
                </c:pt>
                <c:pt idx="5">
                  <c:v>0.27148675462600003</c:v>
                </c:pt>
                <c:pt idx="6">
                  <c:v>0.23507391361999999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'24d8'!$C$2:$C$8</c:f>
              <c:numCache>
                <c:formatCode>General</c:formatCode>
                <c:ptCount val="7"/>
                <c:pt idx="0">
                  <c:v>0.35225647730100001</c:v>
                </c:pt>
                <c:pt idx="1">
                  <c:v>0.34239063612199999</c:v>
                </c:pt>
                <c:pt idx="2">
                  <c:v>0.30441004874599997</c:v>
                </c:pt>
                <c:pt idx="3">
                  <c:v>0.293689050359</c:v>
                </c:pt>
                <c:pt idx="4">
                  <c:v>0.28934572209300002</c:v>
                </c:pt>
                <c:pt idx="5">
                  <c:v>0.26274178983000002</c:v>
                </c:pt>
                <c:pt idx="6">
                  <c:v>0.235066221922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'24d8'!$D$2:$D$8</c:f>
              <c:numCache>
                <c:formatCode>General</c:formatCode>
                <c:ptCount val="7"/>
                <c:pt idx="0">
                  <c:v>0.42396098911000002</c:v>
                </c:pt>
                <c:pt idx="1">
                  <c:v>0.41815392585599997</c:v>
                </c:pt>
                <c:pt idx="2">
                  <c:v>0.50283949809299999</c:v>
                </c:pt>
                <c:pt idx="3">
                  <c:v>0.54221657915499999</c:v>
                </c:pt>
                <c:pt idx="4">
                  <c:v>0.53881069098099998</c:v>
                </c:pt>
                <c:pt idx="5">
                  <c:v>0.59217266197899998</c:v>
                </c:pt>
                <c:pt idx="6">
                  <c:v>0.60773170339399996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'24d8'!$E$2:$E$8</c:f>
              <c:numCache>
                <c:formatCode>General</c:formatCode>
                <c:ptCount val="7"/>
                <c:pt idx="0">
                  <c:v>0.37886479839300002</c:v>
                </c:pt>
                <c:pt idx="1">
                  <c:v>0.42011609002400002</c:v>
                </c:pt>
                <c:pt idx="2">
                  <c:v>0.47838101851300002</c:v>
                </c:pt>
                <c:pt idx="3">
                  <c:v>0.51871411108599996</c:v>
                </c:pt>
                <c:pt idx="4">
                  <c:v>0.57894304147800002</c:v>
                </c:pt>
                <c:pt idx="5">
                  <c:v>0.58901290465300005</c:v>
                </c:pt>
                <c:pt idx="6">
                  <c:v>0.58789185246300002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'24d8'!$F$2:$F$8</c:f>
              <c:numCache>
                <c:formatCode>General</c:formatCode>
                <c:ptCount val="7"/>
                <c:pt idx="0">
                  <c:v>0.38677722429299999</c:v>
                </c:pt>
                <c:pt idx="1">
                  <c:v>0.43016556022300001</c:v>
                </c:pt>
                <c:pt idx="2">
                  <c:v>0.50529641723999996</c:v>
                </c:pt>
                <c:pt idx="3">
                  <c:v>0.492082277751</c:v>
                </c:pt>
                <c:pt idx="4">
                  <c:v>0.56925569233600004</c:v>
                </c:pt>
                <c:pt idx="5">
                  <c:v>0.556246845953</c:v>
                </c:pt>
                <c:pt idx="6">
                  <c:v>0.58799756223400002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84704"/>
        <c:axId val="80587008"/>
      </c:scatterChart>
      <c:valAx>
        <c:axId val="80584704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587008"/>
        <c:crosses val="autoZero"/>
        <c:crossBetween val="midCat"/>
        <c:majorUnit val="1"/>
      </c:valAx>
      <c:valAx>
        <c:axId val="80587008"/>
        <c:scaling>
          <c:orientation val="minMax"/>
          <c:max val="1"/>
          <c:min val="0.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58470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3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'24d16'!$B$2:$B$7</c:f>
              <c:numCache>
                <c:formatCode>General</c:formatCode>
                <c:ptCount val="6"/>
                <c:pt idx="0">
                  <c:v>0.29315960536000002</c:v>
                </c:pt>
                <c:pt idx="1">
                  <c:v>0.295593797554</c:v>
                </c:pt>
                <c:pt idx="2">
                  <c:v>0.26945066976600002</c:v>
                </c:pt>
                <c:pt idx="3">
                  <c:v>0.242984978326</c:v>
                </c:pt>
                <c:pt idx="4">
                  <c:v>0.223921732245</c:v>
                </c:pt>
                <c:pt idx="5">
                  <c:v>0.20998022350699999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'24d16'!$C$2:$C$7</c:f>
              <c:numCache>
                <c:formatCode>General</c:formatCode>
                <c:ptCount val="6"/>
                <c:pt idx="0">
                  <c:v>0.30166116877999999</c:v>
                </c:pt>
                <c:pt idx="1">
                  <c:v>0.28451424121500002</c:v>
                </c:pt>
                <c:pt idx="2">
                  <c:v>0.26096139045799999</c:v>
                </c:pt>
                <c:pt idx="3">
                  <c:v>0.26375958316600001</c:v>
                </c:pt>
                <c:pt idx="4">
                  <c:v>0.23152145044</c:v>
                </c:pt>
                <c:pt idx="5">
                  <c:v>0.207987927785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'24d16'!$D$2:$D$7</c:f>
              <c:numCache>
                <c:formatCode>General</c:formatCode>
                <c:ptCount val="6"/>
                <c:pt idx="0">
                  <c:v>0.36687705824900002</c:v>
                </c:pt>
                <c:pt idx="1">
                  <c:v>0.38006788493499999</c:v>
                </c:pt>
                <c:pt idx="2">
                  <c:v>0.41824371992800002</c:v>
                </c:pt>
                <c:pt idx="3">
                  <c:v>0.425320874229</c:v>
                </c:pt>
                <c:pt idx="4">
                  <c:v>0.47802835387300002</c:v>
                </c:pt>
                <c:pt idx="5">
                  <c:v>0.48132764601900002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'24d16'!$E$2:$E$7</c:f>
              <c:numCache>
                <c:formatCode>General</c:formatCode>
                <c:ptCount val="6"/>
                <c:pt idx="0">
                  <c:v>0.33357834359600003</c:v>
                </c:pt>
                <c:pt idx="1">
                  <c:v>0.37929445789100003</c:v>
                </c:pt>
                <c:pt idx="2">
                  <c:v>0.41322950154299998</c:v>
                </c:pt>
                <c:pt idx="3">
                  <c:v>0.42181541104499998</c:v>
                </c:pt>
                <c:pt idx="4">
                  <c:v>0.476735835637</c:v>
                </c:pt>
                <c:pt idx="5">
                  <c:v>0.53444514561199996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'24d16'!$F$2:$F$7</c:f>
              <c:numCache>
                <c:formatCode>General</c:formatCode>
                <c:ptCount val="6"/>
                <c:pt idx="0">
                  <c:v>0.32786682961399999</c:v>
                </c:pt>
                <c:pt idx="1">
                  <c:v>0.37792744380100002</c:v>
                </c:pt>
                <c:pt idx="2">
                  <c:v>0.39215456655800002</c:v>
                </c:pt>
                <c:pt idx="3">
                  <c:v>0.427992131469</c:v>
                </c:pt>
                <c:pt idx="4">
                  <c:v>0.48389344008099999</c:v>
                </c:pt>
                <c:pt idx="5">
                  <c:v>0.48696685480000002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38016"/>
        <c:axId val="86044672"/>
      </c:scatterChart>
      <c:valAx>
        <c:axId val="86038016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044672"/>
        <c:crosses val="autoZero"/>
        <c:crossBetween val="midCat"/>
        <c:majorUnit val="1"/>
      </c:valAx>
      <c:valAx>
        <c:axId val="86044672"/>
        <c:scaling>
          <c:orientation val="minMax"/>
          <c:max val="1"/>
          <c:min val="0.1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03801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5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'24d32'!$B$2:$B$6</c:f>
              <c:numCache>
                <c:formatCode>General</c:formatCode>
                <c:ptCount val="5"/>
                <c:pt idx="0">
                  <c:v>0.24036808482700001</c:v>
                </c:pt>
                <c:pt idx="1">
                  <c:v>0.228135521723</c:v>
                </c:pt>
                <c:pt idx="2">
                  <c:v>0.23601687849200001</c:v>
                </c:pt>
                <c:pt idx="3">
                  <c:v>0.22088261669299999</c:v>
                </c:pt>
                <c:pt idx="4">
                  <c:v>0.20520301668900001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'24d32'!$C$2:$C$6</c:f>
              <c:numCache>
                <c:formatCode>General</c:formatCode>
                <c:ptCount val="5"/>
                <c:pt idx="0">
                  <c:v>0.255930861806</c:v>
                </c:pt>
                <c:pt idx="1">
                  <c:v>0.232192394059</c:v>
                </c:pt>
                <c:pt idx="2">
                  <c:v>0.23031548432900001</c:v>
                </c:pt>
                <c:pt idx="3">
                  <c:v>0.21874284638700001</c:v>
                </c:pt>
                <c:pt idx="4">
                  <c:v>0.21173128615199999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'24d32'!$D$2:$D$6</c:f>
              <c:numCache>
                <c:formatCode>General</c:formatCode>
                <c:ptCount val="5"/>
                <c:pt idx="0">
                  <c:v>0.31974233849099998</c:v>
                </c:pt>
                <c:pt idx="1">
                  <c:v>0.31467649668499997</c:v>
                </c:pt>
                <c:pt idx="2">
                  <c:v>0.33404372341299998</c:v>
                </c:pt>
                <c:pt idx="3">
                  <c:v>0.37556601242900001</c:v>
                </c:pt>
                <c:pt idx="4">
                  <c:v>0.40733725842099999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'24d32'!$E$2:$E$6</c:f>
              <c:numCache>
                <c:formatCode>General</c:formatCode>
                <c:ptCount val="5"/>
                <c:pt idx="0">
                  <c:v>0.30920382298299998</c:v>
                </c:pt>
                <c:pt idx="1">
                  <c:v>0.30007741342900002</c:v>
                </c:pt>
                <c:pt idx="2">
                  <c:v>0.36875847267200002</c:v>
                </c:pt>
                <c:pt idx="3">
                  <c:v>0.377530296012</c:v>
                </c:pt>
                <c:pt idx="4">
                  <c:v>0.43908003897100001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'24d32'!$F$2:$F$6</c:f>
              <c:numCache>
                <c:formatCode>General</c:formatCode>
                <c:ptCount val="5"/>
                <c:pt idx="0">
                  <c:v>0.28526864803399998</c:v>
                </c:pt>
                <c:pt idx="1">
                  <c:v>0.315211780351</c:v>
                </c:pt>
                <c:pt idx="2">
                  <c:v>0.35629572437500001</c:v>
                </c:pt>
                <c:pt idx="3">
                  <c:v>0.37393509036599998</c:v>
                </c:pt>
                <c:pt idx="4">
                  <c:v>0.40831235977300001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42976"/>
        <c:axId val="86145280"/>
      </c:scatterChart>
      <c:valAx>
        <c:axId val="86142976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145280"/>
        <c:crosses val="autoZero"/>
        <c:crossBetween val="midCat"/>
        <c:majorUnit val="1"/>
      </c:valAx>
      <c:valAx>
        <c:axId val="861452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14297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8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2838453</xdr:colOff>
      <xdr:row>9</xdr:row>
      <xdr:rowOff>209550</xdr:rowOff>
    </xdr:from>
    <xdr:to>
      <xdr:col>4</xdr:col>
      <xdr:colOff>1</xdr:colOff>
      <xdr:row>20</xdr:row>
      <xdr:rowOff>157163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152400</xdr:rowOff>
    </xdr:from>
    <xdr:to>
      <xdr:col>4</xdr:col>
      <xdr:colOff>114298</xdr:colOff>
      <xdr:row>20</xdr:row>
      <xdr:rowOff>100013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2771775</xdr:colOff>
      <xdr:row>9</xdr:row>
      <xdr:rowOff>152400</xdr:rowOff>
    </xdr:from>
    <xdr:to>
      <xdr:col>3</xdr:col>
      <xdr:colOff>2362198</xdr:colOff>
      <xdr:row>20</xdr:row>
      <xdr:rowOff>100013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857250</xdr:colOff>
      <xdr:row>8</xdr:row>
      <xdr:rowOff>190500</xdr:rowOff>
    </xdr:from>
    <xdr:to>
      <xdr:col>4</xdr:col>
      <xdr:colOff>971548</xdr:colOff>
      <xdr:row>19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2752725</xdr:colOff>
      <xdr:row>7</xdr:row>
      <xdr:rowOff>85725</xdr:rowOff>
    </xdr:from>
    <xdr:to>
      <xdr:col>3</xdr:col>
      <xdr:colOff>2343148</xdr:colOff>
      <xdr:row>18</xdr:row>
      <xdr:rowOff>33338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6</xdr:row>
      <xdr:rowOff>209550</xdr:rowOff>
    </xdr:from>
    <xdr:to>
      <xdr:col>4</xdr:col>
      <xdr:colOff>133348</xdr:colOff>
      <xdr:row>17</xdr:row>
      <xdr:rowOff>157163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la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d1"/>
      <sheetName val="24d2"/>
      <sheetName val="24d4"/>
      <sheetName val="24d8"/>
      <sheetName val="24d16"/>
      <sheetName val="24d32"/>
    </sheetNames>
    <sheetDataSet>
      <sheetData sheetId="0">
        <row r="1">
          <cell r="A1" t="str">
            <v># of radios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B13" sqref="B13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0.56725040603200005</v>
      </c>
      <c r="C2" s="1">
        <v>0.57814758674900002</v>
      </c>
      <c r="D2" s="1">
        <v>0.65556547524499997</v>
      </c>
      <c r="E2" s="1">
        <v>0.65632264193500001</v>
      </c>
      <c r="F2" s="1">
        <v>0.62008265809899998</v>
      </c>
    </row>
    <row r="3" spans="1:6" x14ac:dyDescent="0.25">
      <c r="A3" s="1">
        <v>2</v>
      </c>
      <c r="B3" s="1">
        <v>0.51838238963700001</v>
      </c>
      <c r="C3" s="1">
        <v>0.54268833400700001</v>
      </c>
      <c r="D3" s="1">
        <v>0.70052161338600005</v>
      </c>
      <c r="E3" s="1">
        <v>0.65332168484999997</v>
      </c>
      <c r="F3" s="1">
        <v>0.69151942480499995</v>
      </c>
    </row>
    <row r="4" spans="1:6" x14ac:dyDescent="0.25">
      <c r="A4" s="1">
        <v>3</v>
      </c>
      <c r="B4" s="1">
        <v>0.50613486158999998</v>
      </c>
      <c r="C4" s="1">
        <v>0.478246211566</v>
      </c>
      <c r="D4" s="1">
        <v>0.72298213949099999</v>
      </c>
      <c r="E4" s="1">
        <v>0.71028635027099996</v>
      </c>
      <c r="F4" s="1">
        <v>0.71875625603399995</v>
      </c>
    </row>
    <row r="5" spans="1:6" x14ac:dyDescent="0.25">
      <c r="A5" s="1">
        <v>4</v>
      </c>
      <c r="B5" s="1">
        <v>0.47894402671699998</v>
      </c>
      <c r="C5" s="1">
        <v>0.47172902382199999</v>
      </c>
      <c r="D5" s="1">
        <v>0.75651712052200004</v>
      </c>
      <c r="E5" s="1">
        <v>0.75753853182700004</v>
      </c>
      <c r="F5" s="1">
        <v>0.72398536032899996</v>
      </c>
    </row>
    <row r="6" spans="1:6" x14ac:dyDescent="0.25">
      <c r="A6" s="1">
        <v>5</v>
      </c>
      <c r="B6" s="1">
        <v>0.45070431724499999</v>
      </c>
      <c r="C6" s="1">
        <v>0.44266595451500002</v>
      </c>
      <c r="D6" s="1">
        <v>0.76463691969199998</v>
      </c>
      <c r="E6" s="1">
        <v>0.76721637800700004</v>
      </c>
      <c r="F6" s="1">
        <v>0.75704204152800003</v>
      </c>
    </row>
    <row r="7" spans="1:6" x14ac:dyDescent="0.25">
      <c r="A7" s="1">
        <v>6</v>
      </c>
      <c r="B7" s="1">
        <v>0.39242850936399998</v>
      </c>
      <c r="C7" s="1">
        <v>0.36327490438299997</v>
      </c>
      <c r="D7" s="1">
        <v>0.81103539010199999</v>
      </c>
      <c r="E7" s="1">
        <v>0.83659794761100004</v>
      </c>
      <c r="F7" s="1">
        <v>0.78797782573200004</v>
      </c>
    </row>
    <row r="8" spans="1:6" x14ac:dyDescent="0.25">
      <c r="A8" s="1">
        <v>7</v>
      </c>
      <c r="B8" s="1">
        <v>0.34246205644700001</v>
      </c>
      <c r="C8" s="1">
        <v>0.39369881790700001</v>
      </c>
      <c r="D8" s="1">
        <v>0.812568852274</v>
      </c>
      <c r="E8" s="1">
        <v>0.85268252813400003</v>
      </c>
      <c r="F8" s="1">
        <v>0.83417871445199998</v>
      </c>
    </row>
    <row r="9" spans="1:6" x14ac:dyDescent="0.25">
      <c r="A9" s="1">
        <v>8</v>
      </c>
      <c r="B9" s="1">
        <v>0.32800424962300001</v>
      </c>
      <c r="C9" s="1">
        <v>0.35971231202300002</v>
      </c>
      <c r="D9" s="1">
        <v>0.86753964649899995</v>
      </c>
      <c r="E9" s="1">
        <v>0.87450974796699998</v>
      </c>
      <c r="F9" s="1">
        <v>0.89405896347799996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B2" sqref="B2:F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0.49229237586800001</v>
      </c>
      <c r="C2" s="1">
        <v>0.50942219493200003</v>
      </c>
      <c r="D2" s="1">
        <v>0.57202848454800004</v>
      </c>
      <c r="E2" s="1">
        <v>0.51952514935799998</v>
      </c>
      <c r="F2" s="1">
        <v>0.51618000292999999</v>
      </c>
    </row>
    <row r="3" spans="1:6" x14ac:dyDescent="0.25">
      <c r="A3" s="1">
        <v>2</v>
      </c>
      <c r="B3" s="1">
        <v>0.49000737070799999</v>
      </c>
      <c r="C3" s="1">
        <v>0.48104852427599998</v>
      </c>
      <c r="D3" s="1">
        <v>0.58254944101200001</v>
      </c>
      <c r="E3" s="1">
        <v>0.550943803106</v>
      </c>
      <c r="F3" s="1">
        <v>0.59496699697800004</v>
      </c>
    </row>
    <row r="4" spans="1:6" x14ac:dyDescent="0.25">
      <c r="A4" s="1">
        <v>3</v>
      </c>
      <c r="B4" s="1">
        <v>0.47829611370699998</v>
      </c>
      <c r="C4" s="1">
        <v>0.47574543800199998</v>
      </c>
      <c r="D4" s="1">
        <v>0.62633261181</v>
      </c>
      <c r="E4" s="1">
        <v>0.626634451398</v>
      </c>
      <c r="F4" s="1">
        <v>0.65216446285100005</v>
      </c>
    </row>
    <row r="5" spans="1:6" x14ac:dyDescent="0.25">
      <c r="A5" s="1">
        <v>4</v>
      </c>
      <c r="B5" s="1">
        <v>0.44634064503900001</v>
      </c>
      <c r="C5" s="1">
        <v>0.45818767378199998</v>
      </c>
      <c r="D5" s="1">
        <v>0.68432584838699995</v>
      </c>
      <c r="E5" s="1">
        <v>0.65871567972900003</v>
      </c>
      <c r="F5" s="1">
        <v>0.625409072023</v>
      </c>
    </row>
    <row r="6" spans="1:6" x14ac:dyDescent="0.25">
      <c r="A6" s="1">
        <v>5</v>
      </c>
      <c r="B6" s="1">
        <v>0.44214382381900003</v>
      </c>
      <c r="C6" s="1">
        <v>0.41895632446499997</v>
      </c>
      <c r="D6" s="1">
        <v>0.67564896256499996</v>
      </c>
      <c r="E6" s="1">
        <v>0.68533655155200002</v>
      </c>
      <c r="F6" s="1">
        <v>0.72545514343700002</v>
      </c>
    </row>
    <row r="7" spans="1:6" x14ac:dyDescent="0.25">
      <c r="A7" s="1">
        <v>6</v>
      </c>
      <c r="B7" s="1">
        <v>0.42233833654199998</v>
      </c>
      <c r="C7" s="1">
        <v>0.41308021706699999</v>
      </c>
      <c r="D7" s="1">
        <v>0.76799611705299997</v>
      </c>
      <c r="E7" s="1">
        <v>0.718750392578</v>
      </c>
      <c r="F7" s="1">
        <v>0.74320038982199998</v>
      </c>
    </row>
    <row r="8" spans="1:6" x14ac:dyDescent="0.25">
      <c r="A8" s="1">
        <v>7</v>
      </c>
      <c r="B8" s="1">
        <v>0.401176094092</v>
      </c>
      <c r="C8" s="1">
        <v>0.37499340577899998</v>
      </c>
      <c r="D8" s="1">
        <v>0.79374782878200001</v>
      </c>
      <c r="E8" s="1">
        <v>0.78203801050800004</v>
      </c>
      <c r="F8" s="1">
        <v>0.78059202134100003</v>
      </c>
    </row>
    <row r="9" spans="1:6" x14ac:dyDescent="0.25">
      <c r="A9" s="1">
        <v>8</v>
      </c>
      <c r="B9" s="1">
        <v>0.36541569422199999</v>
      </c>
      <c r="C9" s="1">
        <v>0.36121726316000002</v>
      </c>
      <c r="D9" s="1">
        <v>0.82746113734500004</v>
      </c>
      <c r="E9" s="1">
        <v>0.84028066800800005</v>
      </c>
      <c r="F9" s="1">
        <v>0.80527467373999995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B15" sqref="B15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0.45563503932900001</v>
      </c>
      <c r="C2" s="1">
        <v>0.45598099084799998</v>
      </c>
      <c r="D2" s="1">
        <v>0.47252454097000002</v>
      </c>
      <c r="E2" s="1">
        <v>0.47249134308500002</v>
      </c>
      <c r="F2" s="1">
        <v>0.49305710755400001</v>
      </c>
    </row>
    <row r="3" spans="1:6" x14ac:dyDescent="0.25">
      <c r="A3" s="1">
        <v>2</v>
      </c>
      <c r="B3" s="1">
        <v>0.439984218692</v>
      </c>
      <c r="C3" s="1">
        <v>0.42978185878699998</v>
      </c>
      <c r="D3" s="1">
        <v>0.50616578342399998</v>
      </c>
      <c r="E3" s="1">
        <v>0.52392607788699996</v>
      </c>
      <c r="F3" s="1">
        <v>0.52616307418999997</v>
      </c>
    </row>
    <row r="4" spans="1:6" x14ac:dyDescent="0.25">
      <c r="A4" s="1">
        <v>3</v>
      </c>
      <c r="B4" s="1">
        <v>0.418290689715</v>
      </c>
      <c r="C4" s="1">
        <v>0.42110854115599999</v>
      </c>
      <c r="D4" s="1">
        <v>0.56127625424299998</v>
      </c>
      <c r="E4" s="1">
        <v>0.55122738850999997</v>
      </c>
      <c r="F4" s="1">
        <v>0.57451588910399998</v>
      </c>
    </row>
    <row r="5" spans="1:6" x14ac:dyDescent="0.25">
      <c r="A5" s="1">
        <v>4</v>
      </c>
      <c r="B5" s="1">
        <v>0.424339024776</v>
      </c>
      <c r="C5" s="1">
        <v>0.41852135664000001</v>
      </c>
      <c r="D5" s="1">
        <v>0.58121727856299998</v>
      </c>
      <c r="E5" s="1">
        <v>0.58029540392400003</v>
      </c>
      <c r="F5" s="1">
        <v>0.56500488851200004</v>
      </c>
    </row>
    <row r="6" spans="1:6" x14ac:dyDescent="0.25">
      <c r="A6" s="1">
        <v>5</v>
      </c>
      <c r="B6" s="1">
        <v>0.39435190740999998</v>
      </c>
      <c r="C6" s="1">
        <v>0.41096034273400001</v>
      </c>
      <c r="D6" s="1">
        <v>0.60610581122499996</v>
      </c>
      <c r="E6" s="1">
        <v>0.60474685929200001</v>
      </c>
      <c r="F6" s="1">
        <v>0.61662181728999998</v>
      </c>
    </row>
    <row r="7" spans="1:6" x14ac:dyDescent="0.25">
      <c r="A7" s="1">
        <v>6</v>
      </c>
      <c r="B7" s="1">
        <v>0.38014156736600002</v>
      </c>
      <c r="C7" s="1">
        <v>0.38490135052199997</v>
      </c>
      <c r="D7" s="1">
        <v>0.65764041270600004</v>
      </c>
      <c r="E7" s="1">
        <v>0.66578587682900003</v>
      </c>
      <c r="F7" s="1">
        <v>0.64429400001600001</v>
      </c>
    </row>
    <row r="8" spans="1:6" x14ac:dyDescent="0.25">
      <c r="A8" s="1">
        <v>7</v>
      </c>
      <c r="B8" s="1">
        <v>0.36918243798799999</v>
      </c>
      <c r="C8" s="1">
        <v>0.38075399064299997</v>
      </c>
      <c r="D8" s="1">
        <v>0.67447685017299996</v>
      </c>
      <c r="E8" s="1">
        <v>0.701507010238</v>
      </c>
      <c r="F8" s="1">
        <v>0.68110901552600001</v>
      </c>
    </row>
    <row r="9" spans="1:6" x14ac:dyDescent="0.25">
      <c r="A9" s="1">
        <v>8</v>
      </c>
      <c r="B9" s="1">
        <v>0.35386467338799998</v>
      </c>
      <c r="C9" s="1">
        <v>0.36652502961200001</v>
      </c>
      <c r="D9" s="1">
        <v>0.72442054540800005</v>
      </c>
      <c r="E9" s="1">
        <v>0.74724262604400005</v>
      </c>
      <c r="F9" s="1">
        <v>0.73805062696799995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"/>
  <sheetViews>
    <sheetView workbookViewId="0">
      <selection activeCell="B12" sqref="B1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0.34539344613400003</v>
      </c>
      <c r="C2" s="1">
        <v>0.35225647730100001</v>
      </c>
      <c r="D2" s="1">
        <v>0.42396098911000002</v>
      </c>
      <c r="E2" s="1">
        <v>0.37886479839300002</v>
      </c>
      <c r="F2" s="1">
        <v>0.38677722429299999</v>
      </c>
    </row>
    <row r="3" spans="1:6" x14ac:dyDescent="0.25">
      <c r="A3" s="1">
        <v>2</v>
      </c>
      <c r="B3" s="1">
        <v>0.328321485144</v>
      </c>
      <c r="C3" s="1">
        <v>0.34239063612199999</v>
      </c>
      <c r="D3" s="1">
        <v>0.41815392585599997</v>
      </c>
      <c r="E3" s="1">
        <v>0.42011609002400002</v>
      </c>
      <c r="F3" s="1">
        <v>0.43016556022300001</v>
      </c>
    </row>
    <row r="4" spans="1:6" x14ac:dyDescent="0.25">
      <c r="A4" s="1">
        <v>3</v>
      </c>
      <c r="B4" s="1">
        <v>0.30169267372300002</v>
      </c>
      <c r="C4" s="1">
        <v>0.30441004874599997</v>
      </c>
      <c r="D4" s="1">
        <v>0.50283949809299999</v>
      </c>
      <c r="E4" s="1">
        <v>0.47838101851300002</v>
      </c>
      <c r="F4" s="1">
        <v>0.50529641723999996</v>
      </c>
    </row>
    <row r="5" spans="1:6" x14ac:dyDescent="0.25">
      <c r="A5" s="1">
        <v>4</v>
      </c>
      <c r="B5" s="1">
        <v>0.28544676001000002</v>
      </c>
      <c r="C5" s="1">
        <v>0.293689050359</v>
      </c>
      <c r="D5" s="1">
        <v>0.54221657915499999</v>
      </c>
      <c r="E5" s="1">
        <v>0.51871411108599996</v>
      </c>
      <c r="F5" s="1">
        <v>0.492082277751</v>
      </c>
    </row>
    <row r="6" spans="1:6" x14ac:dyDescent="0.25">
      <c r="A6" s="1">
        <v>5</v>
      </c>
      <c r="B6" s="1">
        <v>0.26887732272100001</v>
      </c>
      <c r="C6" s="1">
        <v>0.28934572209300002</v>
      </c>
      <c r="D6" s="1">
        <v>0.53881069098099998</v>
      </c>
      <c r="E6" s="1">
        <v>0.57894304147800002</v>
      </c>
      <c r="F6" s="1">
        <v>0.56925569233600004</v>
      </c>
    </row>
    <row r="7" spans="1:6" x14ac:dyDescent="0.25">
      <c r="A7" s="1">
        <v>6</v>
      </c>
      <c r="B7" s="1">
        <v>0.27148675462600003</v>
      </c>
      <c r="C7" s="1">
        <v>0.26274178983000002</v>
      </c>
      <c r="D7" s="1">
        <v>0.59217266197899998</v>
      </c>
      <c r="E7" s="1">
        <v>0.58901290465300005</v>
      </c>
      <c r="F7" s="1">
        <v>0.556246845953</v>
      </c>
    </row>
    <row r="8" spans="1:6" x14ac:dyDescent="0.25">
      <c r="A8" s="1">
        <v>7</v>
      </c>
      <c r="B8" s="1">
        <v>0.23507391361999999</v>
      </c>
      <c r="C8" s="1">
        <v>0.235066221922</v>
      </c>
      <c r="D8" s="1">
        <v>0.60773170339399996</v>
      </c>
      <c r="E8" s="1">
        <v>0.58789185246300002</v>
      </c>
      <c r="F8" s="1">
        <v>0.58799756223400002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"/>
  <sheetViews>
    <sheetView workbookViewId="0">
      <selection activeCell="B8" sqref="B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0.29315960536000002</v>
      </c>
      <c r="C2" s="1">
        <v>0.30166116877999999</v>
      </c>
      <c r="D2" s="1">
        <v>0.36687705824900002</v>
      </c>
      <c r="E2" s="1">
        <v>0.33357834359600003</v>
      </c>
      <c r="F2" s="1">
        <v>0.32786682961399999</v>
      </c>
    </row>
    <row r="3" spans="1:6" x14ac:dyDescent="0.25">
      <c r="A3" s="1">
        <v>2</v>
      </c>
      <c r="B3" s="1">
        <v>0.295593797554</v>
      </c>
      <c r="C3" s="1">
        <v>0.28451424121500002</v>
      </c>
      <c r="D3" s="1">
        <v>0.38006788493499999</v>
      </c>
      <c r="E3" s="1">
        <v>0.37929445789100003</v>
      </c>
      <c r="F3" s="1">
        <v>0.37792744380100002</v>
      </c>
    </row>
    <row r="4" spans="1:6" x14ac:dyDescent="0.25">
      <c r="A4" s="1">
        <v>3</v>
      </c>
      <c r="B4" s="1">
        <v>0.26945066976600002</v>
      </c>
      <c r="C4" s="1">
        <v>0.26096139045799999</v>
      </c>
      <c r="D4" s="1">
        <v>0.41824371992800002</v>
      </c>
      <c r="E4" s="1">
        <v>0.41322950154299998</v>
      </c>
      <c r="F4" s="1">
        <v>0.39215456655800002</v>
      </c>
    </row>
    <row r="5" spans="1:6" x14ac:dyDescent="0.25">
      <c r="A5" s="1">
        <v>4</v>
      </c>
      <c r="B5" s="1">
        <v>0.242984978326</v>
      </c>
      <c r="C5" s="1">
        <v>0.26375958316600001</v>
      </c>
      <c r="D5" s="1">
        <v>0.425320874229</v>
      </c>
      <c r="E5" s="1">
        <v>0.42181541104499998</v>
      </c>
      <c r="F5" s="1">
        <v>0.427992131469</v>
      </c>
    </row>
    <row r="6" spans="1:6" x14ac:dyDescent="0.25">
      <c r="A6" s="1">
        <v>5</v>
      </c>
      <c r="B6" s="1">
        <v>0.223921732245</v>
      </c>
      <c r="C6" s="1">
        <v>0.23152145044</v>
      </c>
      <c r="D6" s="1">
        <v>0.47802835387300002</v>
      </c>
      <c r="E6" s="1">
        <v>0.476735835637</v>
      </c>
      <c r="F6" s="1">
        <v>0.48389344008099999</v>
      </c>
    </row>
    <row r="7" spans="1:6" x14ac:dyDescent="0.25">
      <c r="A7" s="1">
        <v>6</v>
      </c>
      <c r="B7" s="1">
        <v>0.20998022350699999</v>
      </c>
      <c r="C7" s="1">
        <v>0.207987927785</v>
      </c>
      <c r="D7" s="1">
        <v>0.48132764601900002</v>
      </c>
      <c r="E7" s="1">
        <v>0.53444514561199996</v>
      </c>
      <c r="F7" s="1">
        <v>0.48696685480000002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tabSelected="1" workbookViewId="0">
      <selection activeCell="E7" sqref="E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0.24036808482700001</v>
      </c>
      <c r="C2" s="1">
        <v>0.255930861806</v>
      </c>
      <c r="D2" s="1">
        <v>0.31974233849099998</v>
      </c>
      <c r="E2" s="1">
        <v>0.30920382298299998</v>
      </c>
      <c r="F2" s="1">
        <v>0.28526864803399998</v>
      </c>
    </row>
    <row r="3" spans="1:6" x14ac:dyDescent="0.25">
      <c r="A3" s="1">
        <v>2</v>
      </c>
      <c r="B3" s="1">
        <v>0.228135521723</v>
      </c>
      <c r="C3" s="1">
        <v>0.232192394059</v>
      </c>
      <c r="D3" s="1">
        <v>0.31467649668499997</v>
      </c>
      <c r="E3" s="1">
        <v>0.30007741342900002</v>
      </c>
      <c r="F3" s="1">
        <v>0.315211780351</v>
      </c>
    </row>
    <row r="4" spans="1:6" x14ac:dyDescent="0.25">
      <c r="A4" s="1">
        <v>3</v>
      </c>
      <c r="B4" s="1">
        <v>0.23601687849200001</v>
      </c>
      <c r="C4" s="1">
        <v>0.23031548432900001</v>
      </c>
      <c r="D4" s="1">
        <v>0.33404372341299998</v>
      </c>
      <c r="E4" s="1">
        <v>0.36875847267200002</v>
      </c>
      <c r="F4" s="1">
        <v>0.35629572437500001</v>
      </c>
    </row>
    <row r="5" spans="1:6" x14ac:dyDescent="0.25">
      <c r="A5" s="1">
        <v>4</v>
      </c>
      <c r="B5" s="1">
        <v>0.22088261669299999</v>
      </c>
      <c r="C5" s="1">
        <v>0.21874284638700001</v>
      </c>
      <c r="D5" s="1">
        <v>0.37556601242900001</v>
      </c>
      <c r="E5" s="1">
        <v>0.377530296012</v>
      </c>
      <c r="F5" s="1">
        <v>0.37393509036599998</v>
      </c>
    </row>
    <row r="6" spans="1:6" x14ac:dyDescent="0.25">
      <c r="A6" s="1">
        <v>5</v>
      </c>
      <c r="B6" s="1">
        <v>0.20520301668900001</v>
      </c>
      <c r="C6" s="1">
        <v>0.21173128615199999</v>
      </c>
      <c r="D6" s="1">
        <v>0.40733725842099999</v>
      </c>
      <c r="E6" s="1">
        <v>0.43908003897100001</v>
      </c>
      <c r="F6" s="1">
        <v>0.40831235977300001</v>
      </c>
    </row>
  </sheetData>
  <pageMargins left="0.7" right="0.7" top="0.75" bottom="0.75" header="0.3" footer="0.3"/>
  <pageSetup scale="9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J9"/>
  <sheetViews>
    <sheetView topLeftCell="S1" workbookViewId="0">
      <selection activeCell="AF2" sqref="AF2:AJ7"/>
    </sheetView>
  </sheetViews>
  <sheetFormatPr defaultRowHeight="15" x14ac:dyDescent="0.25"/>
  <cols>
    <col min="1" max="1" width="13" bestFit="1" customWidth="1"/>
    <col min="2" max="3" width="15.5703125" bestFit="1" customWidth="1"/>
    <col min="4" max="4" width="18.42578125" bestFit="1" customWidth="1"/>
    <col min="5" max="5" width="20.5703125" bestFit="1" customWidth="1"/>
    <col min="6" max="6" width="27.42578125" bestFit="1" customWidth="1"/>
    <col min="7" max="7" width="12.5703125" bestFit="1" customWidth="1"/>
    <col min="8" max="8" width="14" bestFit="1" customWidth="1"/>
    <col min="9" max="9" width="18.42578125" bestFit="1" customWidth="1"/>
    <col min="10" max="10" width="20.5703125" bestFit="1" customWidth="1"/>
    <col min="11" max="11" width="27.42578125" bestFit="1" customWidth="1"/>
  </cols>
  <sheetData>
    <row r="1" spans="1:36" ht="18.7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5</v>
      </c>
    </row>
    <row r="2" spans="1:36" ht="18.75" x14ac:dyDescent="0.25">
      <c r="A2" s="1">
        <v>1</v>
      </c>
      <c r="B2" s="1">
        <v>0.91833009090909001</v>
      </c>
      <c r="C2" s="1">
        <v>0.87672709090909096</v>
      </c>
      <c r="D2" s="1">
        <v>0.87665150505050404</v>
      </c>
      <c r="E2" s="1">
        <v>0.82634816161616098</v>
      </c>
      <c r="F2" s="1">
        <v>0.82634816161616098</v>
      </c>
      <c r="G2">
        <f>1-B2</f>
        <v>8.1669909090909987E-2</v>
      </c>
      <c r="H2">
        <f t="shared" ref="H2:K7" si="0">1-C2</f>
        <v>0.12327290909090904</v>
      </c>
      <c r="I2">
        <f t="shared" si="0"/>
        <v>0.12334849494949596</v>
      </c>
      <c r="J2">
        <f t="shared" si="0"/>
        <v>0.17365183838383902</v>
      </c>
      <c r="K2">
        <f t="shared" si="0"/>
        <v>0.17365183838383902</v>
      </c>
      <c r="L2" s="1">
        <v>0.70156094949494896</v>
      </c>
      <c r="M2" s="1">
        <v>1.15675161616161</v>
      </c>
      <c r="N2" s="1">
        <v>1.15675161616161</v>
      </c>
      <c r="O2" s="1">
        <v>1.0473409494949499</v>
      </c>
      <c r="P2" s="1">
        <v>1.0473409494949499</v>
      </c>
      <c r="Q2">
        <f>L2*1024</f>
        <v>718.39841228282773</v>
      </c>
      <c r="R2">
        <f t="shared" ref="R2:U7" si="1">M2*1024</f>
        <v>1184.5136549494887</v>
      </c>
      <c r="S2">
        <f t="shared" si="1"/>
        <v>1184.5136549494887</v>
      </c>
      <c r="T2">
        <f t="shared" si="1"/>
        <v>1072.4771322828287</v>
      </c>
      <c r="U2">
        <f t="shared" si="1"/>
        <v>1072.4771322828287</v>
      </c>
      <c r="V2">
        <f>1024*G2</f>
        <v>83.629986909091826</v>
      </c>
      <c r="W2">
        <f t="shared" ref="W2:Z7" si="2">1024*H2</f>
        <v>126.23145890909086</v>
      </c>
      <c r="X2">
        <f t="shared" si="2"/>
        <v>126.30885882828386</v>
      </c>
      <c r="Y2">
        <f t="shared" si="2"/>
        <v>177.81948250505116</v>
      </c>
      <c r="Z2">
        <f t="shared" si="2"/>
        <v>177.81948250505116</v>
      </c>
      <c r="AA2">
        <f>Q2/(8*V2)</f>
        <v>1.0737751475791621</v>
      </c>
      <c r="AB2">
        <f t="shared" ref="AB2:AE7" si="3">R2/(8*W2)</f>
        <v>1.1729580577478607</v>
      </c>
      <c r="AC2">
        <f t="shared" si="3"/>
        <v>1.1722392890112205</v>
      </c>
      <c r="AD2">
        <f t="shared" si="3"/>
        <v>0.75390862489741794</v>
      </c>
      <c r="AE2">
        <f t="shared" si="3"/>
        <v>0.75390862489741794</v>
      </c>
      <c r="AF2">
        <f>ABS(1-AA2)</f>
        <v>7.3775147579162148E-2</v>
      </c>
      <c r="AG2">
        <f t="shared" ref="AG2:AJ7" si="4">ABS(1-AB2)</f>
        <v>0.17295805774786066</v>
      </c>
      <c r="AH2">
        <f t="shared" si="4"/>
        <v>0.17223928901122054</v>
      </c>
      <c r="AI2">
        <f t="shared" si="4"/>
        <v>0.24609137510258206</v>
      </c>
      <c r="AJ2">
        <f t="shared" si="4"/>
        <v>0.24609137510258206</v>
      </c>
    </row>
    <row r="3" spans="1:36" ht="18.75" x14ac:dyDescent="0.25">
      <c r="A3" s="1">
        <v>2</v>
      </c>
      <c r="B3" s="1">
        <v>0.94746583838383802</v>
      </c>
      <c r="C3" s="1">
        <v>0.93999109090909005</v>
      </c>
      <c r="D3" s="1">
        <v>0.86142218181818098</v>
      </c>
      <c r="E3" s="1">
        <v>0.84952669696969696</v>
      </c>
      <c r="F3" s="1">
        <v>0.85092701010100902</v>
      </c>
      <c r="G3">
        <f t="shared" ref="G3:G7" si="5">1-B3</f>
        <v>5.2534161616161978E-2</v>
      </c>
      <c r="H3">
        <f t="shared" si="0"/>
        <v>6.0008909090909945E-2</v>
      </c>
      <c r="I3">
        <f t="shared" si="0"/>
        <v>0.13857781818181902</v>
      </c>
      <c r="J3">
        <f t="shared" si="0"/>
        <v>0.15047330303030304</v>
      </c>
      <c r="K3">
        <f t="shared" si="0"/>
        <v>0.14907298989899098</v>
      </c>
      <c r="L3" s="1">
        <v>0.33861186868686799</v>
      </c>
      <c r="M3" s="1">
        <v>0.44596681818181799</v>
      </c>
      <c r="N3" s="1">
        <v>0.473383949494949</v>
      </c>
      <c r="O3" s="1">
        <v>0.53464352525252501</v>
      </c>
      <c r="P3" s="1">
        <v>0.52680204040404</v>
      </c>
      <c r="Q3">
        <f t="shared" ref="Q3:Q7" si="6">L3*1024</f>
        <v>346.73855353535282</v>
      </c>
      <c r="R3">
        <f t="shared" si="1"/>
        <v>456.67002181818162</v>
      </c>
      <c r="S3">
        <f t="shared" si="1"/>
        <v>484.74516428282777</v>
      </c>
      <c r="T3">
        <f t="shared" si="1"/>
        <v>547.47496985858561</v>
      </c>
      <c r="U3">
        <f t="shared" si="1"/>
        <v>539.44528937373695</v>
      </c>
      <c r="V3">
        <f t="shared" ref="V3:V7" si="7">1024*G3</f>
        <v>53.794981494949866</v>
      </c>
      <c r="W3">
        <f t="shared" si="2"/>
        <v>61.449122909091784</v>
      </c>
      <c r="X3">
        <f t="shared" si="2"/>
        <v>141.90368581818268</v>
      </c>
      <c r="Y3">
        <f t="shared" si="2"/>
        <v>154.08466230303031</v>
      </c>
      <c r="Z3">
        <f t="shared" si="2"/>
        <v>152.65074165656677</v>
      </c>
      <c r="AA3">
        <f t="shared" ref="AA3:AA7" si="8">Q3/(8*V3)</f>
        <v>0.80569447162999708</v>
      </c>
      <c r="AB3">
        <f t="shared" si="3"/>
        <v>0.92895960145310397</v>
      </c>
      <c r="AC3">
        <f t="shared" si="3"/>
        <v>0.42700191461545134</v>
      </c>
      <c r="AD3">
        <f t="shared" si="3"/>
        <v>0.44413486851622436</v>
      </c>
      <c r="AE3">
        <f t="shared" si="3"/>
        <v>0.44173163156601258</v>
      </c>
      <c r="AF3">
        <f t="shared" ref="AF3:AF7" si="9">ABS(1-AA3)</f>
        <v>0.19430552837000292</v>
      </c>
      <c r="AG3">
        <f t="shared" si="4"/>
        <v>7.1040398546896033E-2</v>
      </c>
      <c r="AH3">
        <f t="shared" si="4"/>
        <v>0.57299808538454866</v>
      </c>
      <c r="AI3">
        <f t="shared" si="4"/>
        <v>0.5558651314837757</v>
      </c>
      <c r="AJ3">
        <f t="shared" si="4"/>
        <v>0.55826836843398742</v>
      </c>
    </row>
    <row r="4" spans="1:36" ht="18.75" x14ac:dyDescent="0.25">
      <c r="A4" s="1">
        <v>3</v>
      </c>
      <c r="B4" s="1">
        <v>0.97385861616161595</v>
      </c>
      <c r="C4" s="1">
        <v>0.97115286868686801</v>
      </c>
      <c r="D4" s="1">
        <v>0.84072651515151497</v>
      </c>
      <c r="E4" s="1">
        <v>0.831643626262626</v>
      </c>
      <c r="F4" s="1">
        <v>0.83196186868686794</v>
      </c>
      <c r="G4">
        <f t="shared" si="5"/>
        <v>2.6141383838384047E-2</v>
      </c>
      <c r="H4">
        <f t="shared" si="0"/>
        <v>2.8847131313131991E-2</v>
      </c>
      <c r="I4">
        <f t="shared" si="0"/>
        <v>0.15927348484848503</v>
      </c>
      <c r="J4">
        <f t="shared" si="0"/>
        <v>0.168356373737374</v>
      </c>
      <c r="K4">
        <f t="shared" si="0"/>
        <v>0.16803813131313206</v>
      </c>
      <c r="L4" s="1">
        <v>0.18640853535353499</v>
      </c>
      <c r="M4" s="1">
        <v>0.30729634343434298</v>
      </c>
      <c r="N4" s="1">
        <v>0.51440765656565601</v>
      </c>
      <c r="O4" s="1">
        <v>0.53325654545454504</v>
      </c>
      <c r="P4" s="1">
        <v>0.53354936363636296</v>
      </c>
      <c r="Q4">
        <f t="shared" si="6"/>
        <v>190.88234020201983</v>
      </c>
      <c r="R4">
        <f t="shared" si="1"/>
        <v>314.67145567676721</v>
      </c>
      <c r="S4">
        <f t="shared" si="1"/>
        <v>526.75344032323176</v>
      </c>
      <c r="T4">
        <f t="shared" si="1"/>
        <v>546.05470254545412</v>
      </c>
      <c r="U4">
        <f t="shared" si="1"/>
        <v>546.35454836363567</v>
      </c>
      <c r="V4">
        <f t="shared" si="7"/>
        <v>26.768777050505264</v>
      </c>
      <c r="W4">
        <f t="shared" si="2"/>
        <v>29.539462464647158</v>
      </c>
      <c r="X4">
        <f t="shared" si="2"/>
        <v>163.09604848484867</v>
      </c>
      <c r="Y4">
        <f t="shared" si="2"/>
        <v>172.39692670707097</v>
      </c>
      <c r="Z4">
        <f t="shared" si="2"/>
        <v>172.07104646464722</v>
      </c>
      <c r="AA4">
        <f t="shared" si="8"/>
        <v>0.89134787443724905</v>
      </c>
      <c r="AB4">
        <f t="shared" si="3"/>
        <v>1.3315723671908644</v>
      </c>
      <c r="AC4">
        <f t="shared" si="3"/>
        <v>0.40371413441399701</v>
      </c>
      <c r="AD4">
        <f t="shared" si="3"/>
        <v>0.39592839107950389</v>
      </c>
      <c r="AE4">
        <f t="shared" si="3"/>
        <v>0.39689604932742611</v>
      </c>
      <c r="AF4">
        <f t="shared" si="9"/>
        <v>0.10865212556275095</v>
      </c>
      <c r="AG4">
        <f t="shared" si="4"/>
        <v>0.33157236719086436</v>
      </c>
      <c r="AH4">
        <f t="shared" si="4"/>
        <v>0.59628586558600305</v>
      </c>
      <c r="AI4">
        <f t="shared" si="4"/>
        <v>0.60407160892049605</v>
      </c>
      <c r="AJ4">
        <f t="shared" si="4"/>
        <v>0.60310395067257394</v>
      </c>
    </row>
    <row r="5" spans="1:36" ht="18.75" x14ac:dyDescent="0.25">
      <c r="A5" s="1">
        <v>4</v>
      </c>
      <c r="B5" s="1">
        <v>0.98205945454545296</v>
      </c>
      <c r="C5" s="1">
        <v>0.98693112121212101</v>
      </c>
      <c r="D5" s="1">
        <v>0.81846288888888796</v>
      </c>
      <c r="E5" s="1">
        <v>0.81930670707070696</v>
      </c>
      <c r="F5" s="1">
        <v>0.819281383838384</v>
      </c>
      <c r="G5">
        <f t="shared" si="5"/>
        <v>1.7940545454547041E-2</v>
      </c>
      <c r="H5">
        <f t="shared" si="0"/>
        <v>1.306887878787899E-2</v>
      </c>
      <c r="I5">
        <f t="shared" si="0"/>
        <v>0.18153711111111204</v>
      </c>
      <c r="J5">
        <f t="shared" si="0"/>
        <v>0.18069329292929304</v>
      </c>
      <c r="K5">
        <f t="shared" si="0"/>
        <v>0.180718616161616</v>
      </c>
      <c r="L5" s="1">
        <v>0.13082036363636301</v>
      </c>
      <c r="M5" s="1">
        <v>0.18251560606060599</v>
      </c>
      <c r="N5" s="1">
        <v>0.55908105050504997</v>
      </c>
      <c r="O5" s="1">
        <v>0.56305316161616104</v>
      </c>
      <c r="P5" s="1">
        <v>0.56338551515151503</v>
      </c>
      <c r="Q5">
        <f t="shared" si="6"/>
        <v>133.96005236363573</v>
      </c>
      <c r="R5">
        <f t="shared" si="1"/>
        <v>186.89598060606053</v>
      </c>
      <c r="S5">
        <f t="shared" si="1"/>
        <v>572.49899571717117</v>
      </c>
      <c r="T5">
        <f t="shared" si="1"/>
        <v>576.5664374949489</v>
      </c>
      <c r="U5">
        <f t="shared" si="1"/>
        <v>576.90676751515139</v>
      </c>
      <c r="V5">
        <f t="shared" si="7"/>
        <v>18.37111854545617</v>
      </c>
      <c r="W5">
        <f t="shared" si="2"/>
        <v>13.382531878788086</v>
      </c>
      <c r="X5">
        <f t="shared" si="2"/>
        <v>185.89400177777873</v>
      </c>
      <c r="Y5">
        <f t="shared" si="2"/>
        <v>185.02993195959607</v>
      </c>
      <c r="Z5">
        <f t="shared" si="2"/>
        <v>185.05586294949478</v>
      </c>
      <c r="AA5">
        <f t="shared" si="8"/>
        <v>0.91148541140931783</v>
      </c>
      <c r="AB5">
        <f t="shared" si="3"/>
        <v>1.745708344830277</v>
      </c>
      <c r="AC5">
        <f t="shared" si="3"/>
        <v>0.38496333276096473</v>
      </c>
      <c r="AD5">
        <f t="shared" si="3"/>
        <v>0.38950889687732415</v>
      </c>
      <c r="AE5">
        <f t="shared" si="3"/>
        <v>0.38968420016541172</v>
      </c>
      <c r="AF5">
        <f t="shared" si="9"/>
        <v>8.8514588590682175E-2</v>
      </c>
      <c r="AG5">
        <f t="shared" si="4"/>
        <v>0.74570834483027704</v>
      </c>
      <c r="AH5">
        <f t="shared" si="4"/>
        <v>0.61503666723903527</v>
      </c>
      <c r="AI5">
        <f t="shared" si="4"/>
        <v>0.61049110312267585</v>
      </c>
      <c r="AJ5">
        <f t="shared" si="4"/>
        <v>0.61031579983458828</v>
      </c>
    </row>
    <row r="6" spans="1:36" ht="18.75" x14ac:dyDescent="0.25">
      <c r="A6" s="1">
        <v>5</v>
      </c>
      <c r="B6" s="1">
        <v>0.98979641666666596</v>
      </c>
      <c r="C6" s="1">
        <v>0.988394636363636</v>
      </c>
      <c r="D6" s="1">
        <v>0.80536999999999903</v>
      </c>
      <c r="E6" s="1">
        <v>0.79033180808080705</v>
      </c>
      <c r="F6" s="1">
        <v>0.78897427272727205</v>
      </c>
      <c r="G6">
        <f t="shared" si="5"/>
        <v>1.0203583333334043E-2</v>
      </c>
      <c r="H6">
        <f t="shared" si="0"/>
        <v>1.1605363636363997E-2</v>
      </c>
      <c r="I6">
        <f t="shared" si="0"/>
        <v>0.19463000000000097</v>
      </c>
      <c r="J6">
        <f t="shared" si="0"/>
        <v>0.20966819191919295</v>
      </c>
      <c r="K6">
        <f t="shared" si="0"/>
        <v>0.21102572727272795</v>
      </c>
      <c r="L6" s="1">
        <v>8.6986999999999995E-2</v>
      </c>
      <c r="M6" s="1">
        <v>0.18929336363636301</v>
      </c>
      <c r="N6" s="1">
        <v>0.60455800000000004</v>
      </c>
      <c r="O6" s="1">
        <v>0.64740760606060599</v>
      </c>
      <c r="P6" s="1">
        <v>0.67122745454545396</v>
      </c>
      <c r="Q6">
        <f t="shared" si="6"/>
        <v>89.074687999999995</v>
      </c>
      <c r="R6">
        <f t="shared" si="1"/>
        <v>193.83640436363572</v>
      </c>
      <c r="S6">
        <f t="shared" si="1"/>
        <v>619.06739200000004</v>
      </c>
      <c r="T6">
        <f t="shared" si="1"/>
        <v>662.94538860606053</v>
      </c>
      <c r="U6">
        <f t="shared" si="1"/>
        <v>687.33691345454486</v>
      </c>
      <c r="V6">
        <f t="shared" si="7"/>
        <v>10.44846933333406</v>
      </c>
      <c r="W6">
        <f t="shared" si="2"/>
        <v>11.883892363636733</v>
      </c>
      <c r="X6">
        <f t="shared" si="2"/>
        <v>199.30112000000099</v>
      </c>
      <c r="Y6">
        <f t="shared" si="2"/>
        <v>214.70022852525358</v>
      </c>
      <c r="Z6">
        <f t="shared" si="2"/>
        <v>216.09034472727342</v>
      </c>
      <c r="AA6">
        <f t="shared" si="8"/>
        <v>1.06564278888945</v>
      </c>
      <c r="AB6">
        <f t="shared" si="3"/>
        <v>2.0388564456872689</v>
      </c>
      <c r="AC6">
        <f t="shared" si="3"/>
        <v>0.38827390433129338</v>
      </c>
      <c r="AD6">
        <f t="shared" si="3"/>
        <v>0.38597152012816982</v>
      </c>
      <c r="AE6">
        <f t="shared" si="3"/>
        <v>0.3975981170757707</v>
      </c>
      <c r="AF6">
        <f t="shared" si="9"/>
        <v>6.5642788889449966E-2</v>
      </c>
      <c r="AG6">
        <f t="shared" si="4"/>
        <v>1.0388564456872689</v>
      </c>
      <c r="AH6">
        <f t="shared" si="4"/>
        <v>0.61172609566870662</v>
      </c>
      <c r="AI6">
        <f t="shared" si="4"/>
        <v>0.61402847987183018</v>
      </c>
      <c r="AJ6">
        <f t="shared" si="4"/>
        <v>0.60240188292422925</v>
      </c>
    </row>
    <row r="7" spans="1:36" ht="18.75" x14ac:dyDescent="0.25">
      <c r="A7" s="1">
        <v>6</v>
      </c>
      <c r="B7" s="1">
        <v>0.99135267699999996</v>
      </c>
      <c r="C7" s="1">
        <v>0.99531649254383803</v>
      </c>
      <c r="D7" s="1">
        <v>0.82268969696968997</v>
      </c>
      <c r="E7" s="1">
        <v>0.79068256565656503</v>
      </c>
      <c r="F7" s="1">
        <v>0.79025921853535297</v>
      </c>
      <c r="G7">
        <f t="shared" si="5"/>
        <v>8.6473230000000401E-3</v>
      </c>
      <c r="H7">
        <f t="shared" si="0"/>
        <v>4.6835074561619727E-3</v>
      </c>
      <c r="I7">
        <f t="shared" si="0"/>
        <v>0.17731030303031003</v>
      </c>
      <c r="J7">
        <f t="shared" si="0"/>
        <v>0.20931743434343497</v>
      </c>
      <c r="K7">
        <f t="shared" si="0"/>
        <v>0.20974078146464703</v>
      </c>
      <c r="L7" s="1">
        <v>7.3578318181818106E-2</v>
      </c>
      <c r="M7" s="1">
        <v>0.164925438383838</v>
      </c>
      <c r="N7" s="1">
        <v>0.56226896969696905</v>
      </c>
      <c r="O7" s="1">
        <v>0.64417847474747403</v>
      </c>
      <c r="P7" s="1">
        <v>0.65921853535353503</v>
      </c>
      <c r="Q7">
        <f t="shared" si="6"/>
        <v>75.34419781818174</v>
      </c>
      <c r="R7">
        <f t="shared" si="1"/>
        <v>168.88364890505011</v>
      </c>
      <c r="S7">
        <f t="shared" si="1"/>
        <v>575.7634249696963</v>
      </c>
      <c r="T7">
        <f t="shared" si="1"/>
        <v>659.6387581414134</v>
      </c>
      <c r="U7">
        <f t="shared" si="1"/>
        <v>675.03978020201987</v>
      </c>
      <c r="V7">
        <f t="shared" si="7"/>
        <v>8.854858752000041</v>
      </c>
      <c r="W7">
        <f t="shared" si="2"/>
        <v>4.7959116351098601</v>
      </c>
      <c r="X7">
        <f t="shared" si="2"/>
        <v>181.56575030303748</v>
      </c>
      <c r="Y7">
        <f t="shared" si="2"/>
        <v>214.34105276767741</v>
      </c>
      <c r="Z7">
        <f t="shared" si="2"/>
        <v>214.77456021979856</v>
      </c>
      <c r="AA7">
        <f t="shared" si="8"/>
        <v>1.0635996565326888</v>
      </c>
      <c r="AB7">
        <f t="shared" si="3"/>
        <v>4.4017608578494345</v>
      </c>
      <c r="AC7">
        <f t="shared" si="3"/>
        <v>0.39638768876339131</v>
      </c>
      <c r="AD7">
        <f t="shared" si="3"/>
        <v>0.38468993085075887</v>
      </c>
      <c r="AE7">
        <f t="shared" si="3"/>
        <v>0.39287694240369392</v>
      </c>
      <c r="AF7">
        <f t="shared" si="9"/>
        <v>6.3599656532688842E-2</v>
      </c>
      <c r="AG7">
        <f t="shared" si="4"/>
        <v>3.4017608578494345</v>
      </c>
      <c r="AH7">
        <f t="shared" si="4"/>
        <v>0.60361231123660875</v>
      </c>
      <c r="AI7">
        <f t="shared" si="4"/>
        <v>0.61531006914924113</v>
      </c>
      <c r="AJ7">
        <f t="shared" si="4"/>
        <v>0.60712305759630603</v>
      </c>
    </row>
    <row r="8" spans="1:36" ht="18.75" x14ac:dyDescent="0.25">
      <c r="A8" s="1"/>
      <c r="B8" s="1"/>
      <c r="C8" s="1"/>
      <c r="D8" s="1"/>
      <c r="E8" s="1"/>
      <c r="F8" s="1"/>
      <c r="L8" s="1"/>
      <c r="M8" s="1"/>
      <c r="N8" s="1"/>
      <c r="O8" s="1"/>
      <c r="P8" s="1"/>
    </row>
    <row r="9" spans="1:36" ht="18.75" x14ac:dyDescent="0.25">
      <c r="A9" s="1"/>
      <c r="B9" s="1"/>
      <c r="C9" s="1"/>
      <c r="D9" s="1"/>
      <c r="E9" s="1"/>
      <c r="F9" s="1"/>
      <c r="L9" s="1"/>
      <c r="M9" s="1"/>
      <c r="N9" s="1"/>
      <c r="O9" s="1"/>
      <c r="P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24d1</vt:lpstr>
      <vt:lpstr>24d2</vt:lpstr>
      <vt:lpstr>24d4</vt:lpstr>
      <vt:lpstr>24d8</vt:lpstr>
      <vt:lpstr>24d16</vt:lpstr>
      <vt:lpstr>24d32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2017-07-11T03:50:02Z</cp:lastPrinted>
  <dcterms:created xsi:type="dcterms:W3CDTF">2016-11-29T11:40:34Z</dcterms:created>
  <dcterms:modified xsi:type="dcterms:W3CDTF">2017-07-11T03:50:05Z</dcterms:modified>
</cp:coreProperties>
</file>